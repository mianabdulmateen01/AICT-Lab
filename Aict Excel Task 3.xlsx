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an Abdul Mateen\Desktop\CS Gaming\smester1\AICT\AICT LAB ASSIGNMENTS\"/>
    </mc:Choice>
  </mc:AlternateContent>
  <xr:revisionPtr revIDLastSave="0" documentId="13_ncr:1_{4DFD5167-F1A4-4724-860E-E8DFE2551B9F}" xr6:coauthVersionLast="47" xr6:coauthVersionMax="47" xr10:uidLastSave="{00000000-0000-0000-0000-000000000000}"/>
  <bookViews>
    <workbookView xWindow="-108" yWindow="-108" windowWidth="23256" windowHeight="12456" xr2:uid="{930D8795-E518-4818-A548-AC06DD06798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G9" i="1"/>
  <c r="H6" i="1"/>
  <c r="G6" i="1"/>
  <c r="H3" i="1"/>
  <c r="G3" i="1"/>
</calcChain>
</file>

<file path=xl/sharedStrings.xml><?xml version="1.0" encoding="utf-8"?>
<sst xmlns="http://schemas.openxmlformats.org/spreadsheetml/2006/main" count="23" uniqueCount="23">
  <si>
    <t>Student Name</t>
  </si>
  <si>
    <t>Roll Number</t>
  </si>
  <si>
    <t>Institute Name</t>
  </si>
  <si>
    <t>Course/Subject</t>
  </si>
  <si>
    <t>Max.Marks</t>
  </si>
  <si>
    <t>Marks Obtained</t>
  </si>
  <si>
    <t>Average Marks</t>
  </si>
  <si>
    <t>Percentage(%)</t>
  </si>
  <si>
    <t>John Doe</t>
  </si>
  <si>
    <t>Dummy University of Tech</t>
  </si>
  <si>
    <t>Calculus I</t>
  </si>
  <si>
    <t>English Literature</t>
  </si>
  <si>
    <t>Introduction To Ptogramming</t>
  </si>
  <si>
    <t>Jane Smith</t>
  </si>
  <si>
    <t>Fictional College of Arts</t>
  </si>
  <si>
    <t>World History</t>
  </si>
  <si>
    <t>Economics I</t>
  </si>
  <si>
    <t>Creative Writing</t>
  </si>
  <si>
    <t>Alex Johnson</t>
  </si>
  <si>
    <t>Imaginary Institute of Sciences</t>
  </si>
  <si>
    <t>Bioogy</t>
  </si>
  <si>
    <t>Chemistry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</si>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</sst>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Obtained</a:t>
            </a:r>
            <a:r>
              <a:rPr lang="en-US" b="1" baseline="0">
                <a:solidFill>
                  <a:schemeClr val="tx1"/>
                </a:solidFill>
              </a:rPr>
              <a:t> Marks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0842980306269661"/>
          <c:y val="2.4407252440725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Sheet1!$F$3:$F$11</c:f>
              <c:numCache>
                <c:formatCode>General</c:formatCode>
                <c:ptCount val="9"/>
                <c:pt idx="0">
                  <c:v>85</c:v>
                </c:pt>
                <c:pt idx="1">
                  <c:v>95</c:v>
                </c:pt>
                <c:pt idx="2">
                  <c:v>90</c:v>
                </c:pt>
                <c:pt idx="3">
                  <c:v>78</c:v>
                </c:pt>
                <c:pt idx="4">
                  <c:v>88</c:v>
                </c:pt>
                <c:pt idx="5">
                  <c:v>85</c:v>
                </c:pt>
                <c:pt idx="6">
                  <c:v>92</c:v>
                </c:pt>
                <c:pt idx="7">
                  <c:v>84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2-4D24-8736-CB373D5C1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Obtained</a:t>
            </a:r>
            <a:r>
              <a:rPr lang="en-US" b="1" baseline="0">
                <a:solidFill>
                  <a:schemeClr val="tx1"/>
                </a:solidFill>
              </a:rPr>
              <a:t> Marks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0952824599215176"/>
          <c:y val="2.04498977505112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469816272965882E-2"/>
          <c:y val="0.18560185185185185"/>
          <c:w val="0.8901968503937007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Sheet1!$E$3:$E$11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cat>
          <c:val>
            <c:numRef>
              <c:f>Sheet1!$F$3:$F$11</c:f>
              <c:numCache>
                <c:formatCode>General</c:formatCode>
                <c:ptCount val="9"/>
                <c:pt idx="0">
                  <c:v>85</c:v>
                </c:pt>
                <c:pt idx="1">
                  <c:v>95</c:v>
                </c:pt>
                <c:pt idx="2">
                  <c:v>90</c:v>
                </c:pt>
                <c:pt idx="3">
                  <c:v>78</c:v>
                </c:pt>
                <c:pt idx="4">
                  <c:v>88</c:v>
                </c:pt>
                <c:pt idx="5">
                  <c:v>85</c:v>
                </c:pt>
                <c:pt idx="6">
                  <c:v>92</c:v>
                </c:pt>
                <c:pt idx="7">
                  <c:v>84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2-4989-BF71-580273F96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383999"/>
        <c:axId val="104386879"/>
      </c:barChart>
      <c:catAx>
        <c:axId val="10438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86879"/>
        <c:crosses val="autoZero"/>
        <c:auto val="1"/>
        <c:lblAlgn val="ctr"/>
        <c:lblOffset val="100"/>
        <c:noMultiLvlLbl val="0"/>
      </c:catAx>
      <c:valAx>
        <c:axId val="10438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8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16</xdr:row>
      <xdr:rowOff>68580</xdr:rowOff>
    </xdr:from>
    <xdr:to>
      <xdr:col>11</xdr:col>
      <xdr:colOff>579120</xdr:colOff>
      <xdr:row>36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1F5177-4F54-5536-4728-131500B86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38100</xdr:colOff>
      <xdr:row>41</xdr:row>
      <xdr:rowOff>167640</xdr:rowOff>
    </xdr:from>
    <xdr:to>
      <xdr:col>11</xdr:col>
      <xdr:colOff>579120</xdr:colOff>
      <xdr:row>62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597B49-F55F-9550-E80F-7E5370BA1B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an%20Abdul%20Mateen\Desktop\CS%20Gaming\smester1\AICT\AICT%20LAB%20ASSIGNMENTS\Aict%20Excel%20Task%202.xlsx" TargetMode="External"/><Relationship Id="rId1" Type="http://schemas.openxmlformats.org/officeDocument/2006/relationships/externalLinkPath" Target="Aict%20Excel%20Task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F3">
            <v>85</v>
          </cell>
        </row>
        <row r="4">
          <cell r="F4">
            <v>95</v>
          </cell>
        </row>
        <row r="5">
          <cell r="F5">
            <v>90</v>
          </cell>
        </row>
        <row r="6">
          <cell r="F6">
            <v>78</v>
          </cell>
        </row>
        <row r="7">
          <cell r="F7">
            <v>88</v>
          </cell>
        </row>
        <row r="8">
          <cell r="F8">
            <v>85</v>
          </cell>
        </row>
        <row r="9">
          <cell r="F9">
            <v>92</v>
          </cell>
        </row>
        <row r="10">
          <cell r="F10">
            <v>84</v>
          </cell>
        </row>
        <row r="11">
          <cell r="F11">
            <v>90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AA4AD-F833-494B-B2F6-F28B48F0174E}">
  <dimension ref="A1:I12"/>
  <sheetViews>
    <sheetView tabSelected="1" topLeftCell="A55" workbookViewId="0">
      <selection activeCell="M40" sqref="M40"/>
    </sheetView>
  </sheetViews>
  <sheetFormatPr defaultRowHeight="14.4" x14ac:dyDescent="0.3"/>
  <cols>
    <col min="1" max="1" width="14" customWidth="1"/>
    <col min="2" max="2" width="12.77734375" customWidth="1"/>
    <col min="3" max="3" width="13.33203125" customWidth="1"/>
    <col min="4" max="4" width="12.33203125" customWidth="1"/>
    <col min="5" max="5" width="11.44140625" customWidth="1"/>
    <col min="6" max="6" width="12" customWidth="1"/>
    <col min="7" max="7" width="13.88671875" customWidth="1"/>
    <col min="8" max="8" width="16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9" x14ac:dyDescent="0.3">
      <c r="A2" s="1"/>
      <c r="B2" s="1"/>
      <c r="C2" s="3"/>
      <c r="D2" s="3"/>
      <c r="E2" s="3"/>
      <c r="F2" s="3"/>
      <c r="G2" s="3"/>
      <c r="H2" s="1"/>
      <c r="I2" s="2"/>
    </row>
    <row r="3" spans="1:9" x14ac:dyDescent="0.3">
      <c r="A3" s="4" t="s">
        <v>8</v>
      </c>
      <c r="B3" s="4">
        <v>12345</v>
      </c>
      <c r="C3" s="4" t="s">
        <v>9</v>
      </c>
      <c r="D3" s="2" t="s">
        <v>10</v>
      </c>
      <c r="E3" s="2">
        <v>100</v>
      </c>
      <c r="F3" s="2">
        <v>85</v>
      </c>
      <c r="G3" s="5">
        <f>AVERAGE(270/3)</f>
        <v>90</v>
      </c>
      <c r="H3" s="5">
        <f>(270/300)*100</f>
        <v>90</v>
      </c>
      <c r="I3" s="2"/>
    </row>
    <row r="4" spans="1:9" ht="43.2" x14ac:dyDescent="0.3">
      <c r="A4" s="4"/>
      <c r="B4" s="4"/>
      <c r="C4" s="4"/>
      <c r="D4" s="2" t="s">
        <v>11</v>
      </c>
      <c r="E4" s="2">
        <v>100</v>
      </c>
      <c r="F4" s="2">
        <v>95</v>
      </c>
      <c r="G4" s="5"/>
      <c r="H4" s="5"/>
      <c r="I4" s="2"/>
    </row>
    <row r="5" spans="1:9" ht="57.6" x14ac:dyDescent="0.3">
      <c r="A5" s="4"/>
      <c r="B5" s="4"/>
      <c r="C5" s="4"/>
      <c r="D5" s="2" t="s">
        <v>12</v>
      </c>
      <c r="E5" s="2">
        <v>100</v>
      </c>
      <c r="F5" s="2">
        <v>90</v>
      </c>
      <c r="G5" s="5"/>
      <c r="H5" s="5"/>
      <c r="I5" s="2"/>
    </row>
    <row r="6" spans="1:9" ht="28.8" x14ac:dyDescent="0.3">
      <c r="A6" s="4" t="s">
        <v>13</v>
      </c>
      <c r="B6" s="4">
        <v>67890</v>
      </c>
      <c r="C6" s="4" t="s">
        <v>14</v>
      </c>
      <c r="D6" s="2" t="s">
        <v>15</v>
      </c>
      <c r="E6" s="2">
        <v>100</v>
      </c>
      <c r="F6" s="2">
        <v>78</v>
      </c>
      <c r="G6" s="5">
        <f>AVERAGE(251/3)</f>
        <v>83.666666666666671</v>
      </c>
      <c r="H6" s="5">
        <f>(251/300)*100</f>
        <v>83.666666666666671</v>
      </c>
      <c r="I6" s="2"/>
    </row>
    <row r="7" spans="1:9" ht="28.8" x14ac:dyDescent="0.3">
      <c r="A7" s="4"/>
      <c r="B7" s="4"/>
      <c r="C7" s="4"/>
      <c r="D7" s="2" t="s">
        <v>16</v>
      </c>
      <c r="E7" s="2">
        <v>100</v>
      </c>
      <c r="F7" s="2">
        <v>88</v>
      </c>
      <c r="G7" s="5"/>
      <c r="H7" s="5"/>
      <c r="I7" s="2"/>
    </row>
    <row r="8" spans="1:9" ht="28.8" x14ac:dyDescent="0.3">
      <c r="A8" s="4"/>
      <c r="B8" s="4"/>
      <c r="C8" s="4"/>
      <c r="D8" s="2" t="s">
        <v>17</v>
      </c>
      <c r="E8" s="2">
        <v>100</v>
      </c>
      <c r="F8" s="2">
        <v>85</v>
      </c>
      <c r="G8" s="5"/>
      <c r="H8" s="5"/>
      <c r="I8" s="2"/>
    </row>
    <row r="9" spans="1:9" x14ac:dyDescent="0.3">
      <c r="A9" s="4" t="s">
        <v>18</v>
      </c>
      <c r="B9" s="4">
        <v>11223</v>
      </c>
      <c r="C9" s="4" t="s">
        <v>19</v>
      </c>
      <c r="D9" s="2" t="s">
        <v>20</v>
      </c>
      <c r="E9" s="2">
        <v>100</v>
      </c>
      <c r="F9" s="2">
        <v>92</v>
      </c>
      <c r="G9" s="5">
        <f>AVERAGE(266/3)</f>
        <v>88.666666666666671</v>
      </c>
      <c r="H9" s="5">
        <f>(266/300)*100</f>
        <v>88.666666666666671</v>
      </c>
      <c r="I9" s="2"/>
    </row>
    <row r="10" spans="1:9" ht="28.8" x14ac:dyDescent="0.3">
      <c r="A10" s="4"/>
      <c r="B10" s="4"/>
      <c r="C10" s="4"/>
      <c r="D10" s="2" t="s">
        <v>21</v>
      </c>
      <c r="E10" s="2">
        <v>100</v>
      </c>
      <c r="F10" s="2">
        <v>84</v>
      </c>
      <c r="G10" s="5"/>
      <c r="H10" s="5"/>
      <c r="I10" s="2"/>
    </row>
    <row r="11" spans="1:9" x14ac:dyDescent="0.3">
      <c r="A11" s="4"/>
      <c r="B11" s="4"/>
      <c r="C11" s="4"/>
      <c r="D11" s="2" t="s">
        <v>22</v>
      </c>
      <c r="E11" s="2">
        <v>100</v>
      </c>
      <c r="F11" s="2">
        <v>90</v>
      </c>
      <c r="G11" s="5"/>
      <c r="H11" s="5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mergeCells count="23">
    <mergeCell ref="A6:A8"/>
    <mergeCell ref="B6:B8"/>
    <mergeCell ref="C6:C8"/>
    <mergeCell ref="G6:G8"/>
    <mergeCell ref="H6:H8"/>
    <mergeCell ref="A9:A11"/>
    <mergeCell ref="B9:B11"/>
    <mergeCell ref="C9:C11"/>
    <mergeCell ref="G9:G11"/>
    <mergeCell ref="H9:H11"/>
    <mergeCell ref="G1:G2"/>
    <mergeCell ref="H1:H2"/>
    <mergeCell ref="A3:A5"/>
    <mergeCell ref="B3:B5"/>
    <mergeCell ref="C3:C5"/>
    <mergeCell ref="G3:G5"/>
    <mergeCell ref="H3:H5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Mian Abdul Mateen</dc:creator>
  <cp:lastModifiedBy>Mian Abdul Mateen</cp:lastModifiedBy>
  <dcterms:created xsi:type="dcterms:W3CDTF">2025-10-14T04:10:24Z</dcterms:created>
  <dcterms:modified xsi:type="dcterms:W3CDTF">2025-10-14T04:35:53Z</dcterms:modified>
</cp:coreProperties>
</file>